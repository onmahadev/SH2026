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243" documentId="13_ncr:1_{F5F7A5E7-4541-4C3D-B6B4-50806CC5EF48}" xr6:coauthVersionLast="47" xr6:coauthVersionMax="47" xr10:uidLastSave="{E9E99CB7-6097-4604-89AF-5B6F0A844C91}"/>
  <bookViews>
    <workbookView xWindow="-120" yWindow="-120" windowWidth="29040" windowHeight="15840" firstSheet="2" activeTab="1" xr2:uid="{00000000-000D-0000-FFFF-FFFF00000000}"/>
  </bookViews>
  <sheets>
    <sheet name="29-Д10-12" sheetId="14" r:id="rId1"/>
    <sheet name="64-Д13-17" sheetId="18" r:id="rId2"/>
    <sheet name="29-Д13-17" sheetId="16" r:id="rId3"/>
    <sheet name="67-Д13-15" sheetId="17" r:id="rId4"/>
    <sheet name="31-Д13-15" sheetId="15" r:id="rId5"/>
    <sheet name="37-Ж" sheetId="13" r:id="rId6"/>
    <sheet name="40-Ж" sheetId="12" r:id="rId7"/>
    <sheet name="45-Ж" sheetId="1" r:id="rId8"/>
    <sheet name="49-Ж" sheetId="2" r:id="rId9"/>
    <sheet name="55-Ж" sheetId="3" r:id="rId10"/>
    <sheet name="59-Ж" sheetId="6" r:id="rId11"/>
    <sheet name="64-Ж" sheetId="5" r:id="rId12"/>
    <sheet name="71-Ж" sheetId="4" r:id="rId13"/>
    <sheet name="76-Ж" sheetId="8" r:id="rId14"/>
    <sheet name="81-Ж" sheetId="9" r:id="rId15"/>
    <sheet name="81+Ж" sheetId="10" r:id="rId16"/>
    <sheet name="87-Ж" sheetId="7" r:id="rId17"/>
    <sheet name="87+Ж" sheetId="11" r:id="rId18"/>
  </sheets>
  <definedNames>
    <definedName name="_xlnm.Print_Area" localSheetId="0">'29-Д10-12'!$A$1:$X$43</definedName>
    <definedName name="_xlnm.Print_Area" localSheetId="2">'29-Д13-17'!$A$1:$X$43</definedName>
    <definedName name="_xlnm.Print_Area" localSheetId="1">'64-Д13-17'!$A$1:$X$43</definedName>
    <definedName name="_xlnm.Print_Area" localSheetId="4">'31-Д13-15'!$A$1:$X$43</definedName>
    <definedName name="_xlnm.Print_Area" localSheetId="5">'37-Ж'!$A$1:$X$45</definedName>
    <definedName name="_xlnm.Print_Area" localSheetId="6">'40-Ж'!$A$1:$X$45</definedName>
    <definedName name="_xlnm.Print_Area" localSheetId="7">'45-Ж'!$A$1:$X$45</definedName>
    <definedName name="_xlnm.Print_Area" localSheetId="8">'49-Ж'!$A$1:$X$43</definedName>
    <definedName name="_xlnm.Print_Area" localSheetId="9">'55-Ж'!$A$1:$X$43</definedName>
    <definedName name="_xlnm.Print_Area" localSheetId="10">'59-Ж'!$A$1:$X$43</definedName>
    <definedName name="_xlnm.Print_Area" localSheetId="11">'64-Ж'!$A$1:$X$43</definedName>
    <definedName name="_xlnm.Print_Area" localSheetId="3">'67-Д13-15'!$A$1:$X$43</definedName>
    <definedName name="_xlnm.Print_Area" localSheetId="12">'71-Ж'!$A$1:$X$43</definedName>
    <definedName name="_xlnm.Print_Area" localSheetId="13">'76-Ж'!$A$1:$X$43</definedName>
    <definedName name="_xlnm.Print_Area" localSheetId="15">'81+Ж'!$A$1:$X$43</definedName>
    <definedName name="_xlnm.Print_Area" localSheetId="14">'81-Ж'!$A$1:$X$43</definedName>
    <definedName name="_xlnm.Print_Area" localSheetId="17">'87+Ж'!$A$1:$X$43</definedName>
    <definedName name="_xlnm.Print_Area" localSheetId="16">'87-Ж'!$A$1:$X$43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<sst xmlns="http://schemas.openxmlformats.org/spreadsheetml/2006/main" count="1315" uniqueCount="142">
  <si>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</si>
  <si>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</si>
  <si>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</si>
  <si>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</si>
  <si>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</si>
  <si>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</si>
  <si>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</si>
  <si>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</si>
  <si>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</si>
  <si>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</si>
  <si>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Девушки 10-12 лет, весовая категория 29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</si>
  <si>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</si>
  <si>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</si>
  <si>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</si>
  <si>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</si>
  <si>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</si>
  <si>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</si>
  <si>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</si>
  <si>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</si>
  <si>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</si>
  <si>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</si>
  <si>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</si>
  <si>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</si>
  <si>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</si>
  <si>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</si>
  <si>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</si>
  <si>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</si>
  <si>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</si>
  <si>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</si>
  <si>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</si>
  <si>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</si>
  <si>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</si>
  <si>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</si>
  <si>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Шпак</t>
  </si>
  <si>
    <t>Ясна</t>
  </si>
  <si>
    <t>Николаевна</t>
  </si>
  <si>
    <t>3 юн</t>
  </si>
  <si>
    <t>ХМАО</t>
  </si>
  <si>
    <t>ЛГ МАУДО СШОР «Академия спорта», Лангепас</t>
  </si>
  <si>
    <t>08.09.2015</t>
  </si>
  <si>
    <t>Палько, С.А.</t>
  </si>
  <si>
    <t>Машир</t>
  </si>
  <si>
    <t>Ксения</t>
  </si>
  <si>
    <t>Александровна</t>
  </si>
  <si>
    <t>СК «Дружба», Ханты-Мансийск</t>
  </si>
  <si>
    <t>30.12.2016</t>
  </si>
  <si>
    <t>Шишкин, В.В.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</si>
  <si>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</si>
  <si>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</si>
  <si>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</si>
  <si>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</si>
  <si>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</si>
  <si>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</si>
  <si>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</si>
  <si>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</si>
  <si>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</si>
  <si>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</si>
  <si>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</si>
  <si>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</si>
  <si>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</si>
  <si>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</si>
  <si>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</si>
  <si>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</si>
  <si>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</si>
  <si>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</si>
  <si>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</si>
  <si>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Девушки 13-17 лет, весовая категория 64 кг</t>
  </si>
  <si>
    <t>Белоусова</t>
  </si>
  <si>
    <t>Кира</t>
  </si>
  <si>
    <t>Олеговна</t>
  </si>
  <si>
    <t>КМС</t>
  </si>
  <si>
    <t>Академия спорта, Лангепас</t>
  </si>
  <si>
    <t>09.02.2009</t>
  </si>
  <si>
    <t>Бензер</t>
  </si>
  <si>
    <t>Рада</t>
  </si>
  <si>
    <t>Джихановна</t>
  </si>
  <si>
    <t>19.12.2011</t>
  </si>
  <si>
    <t>Девушки 13-17 лет, весовая категория 29 кг</t>
  </si>
  <si>
    <t>Девушки 13-15 лет, весовая категория 31 кг</t>
  </si>
  <si>
    <t>нормы выполнения спортивных званий и спортивных разрядов   1сп.р - 69 кг; 2 сп.р. - 62 кг</t>
  </si>
  <si>
    <t>Женщины,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</si>
  <si>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</si>
  <si>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</si>
  <si>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Женщины, весовая категория 40 кг</t>
  </si>
  <si>
    <t>нормы выполнения спортивных званий и спортивных разрядов  МС - 110 кг; КМС - 90 кг; 1сп.р - 83 кг; 2 сп.р. - 75 кг</t>
  </si>
  <si>
    <t>Женщины,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</si>
  <si>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</si>
  <si>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Женщины,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</si>
  <si>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</si>
  <si>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Галимуллина</t>
  </si>
  <si>
    <t>Карина</t>
  </si>
  <si>
    <t>Вячеславовна</t>
  </si>
  <si>
    <t>1</t>
  </si>
  <si>
    <t>12.10.2002</t>
  </si>
  <si>
    <t>Кравченко</t>
  </si>
  <si>
    <t>Елизавета</t>
  </si>
  <si>
    <t>Денисовна</t>
  </si>
  <si>
    <t>28.05.2008</t>
  </si>
  <si>
    <t>Мишанина</t>
  </si>
  <si>
    <t>Ольга</t>
  </si>
  <si>
    <t>Михайловна</t>
  </si>
  <si>
    <t>02.11.2004</t>
  </si>
  <si>
    <t>Женщины,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</si>
  <si>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</si>
  <si>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Вторушина</t>
  </si>
  <si>
    <t>Мария</t>
  </si>
  <si>
    <t>Сергеевна</t>
  </si>
  <si>
    <t>17.09.2010</t>
  </si>
  <si>
    <t>Галиченко, И.А.</t>
  </si>
  <si>
    <t>Женщины, весовая категория 59 кг</t>
  </si>
  <si>
    <t>нормы выполнения спортивных званий и спортивных разрядов  МС - 160 кг; КМС - 125 кг; 1сп.р - 116 кг; 2 сп.р. - 106 кг</t>
  </si>
  <si>
    <t>Друшляк</t>
  </si>
  <si>
    <t>Диана</t>
  </si>
  <si>
    <t>2</t>
  </si>
  <si>
    <t>09.10.2008</t>
  </si>
  <si>
    <t>Женщины, весовая категория 64 кг</t>
  </si>
  <si>
    <t>нормы выполнения спортивных званий и спортивных разрядов  МС - 170 кг; КМС - 135 кг; 1сп.р - 125 кг; 2 сп.р. - 113 кг</t>
  </si>
  <si>
    <t>Женщины, весовая категория 71 кг</t>
  </si>
  <si>
    <t>нормы выполнения спортивных званий и спортивных разрядов  МС - 175 кг; КМС - 145 кг; 1сп.р - 135 кг; 2 сп.р. - 122 кг</t>
  </si>
  <si>
    <t>Бондаренко</t>
  </si>
  <si>
    <t>Маргарита</t>
  </si>
  <si>
    <t>09.06.2010</t>
  </si>
  <si>
    <t>Северина</t>
  </si>
  <si>
    <t>Виктория</t>
  </si>
  <si>
    <t>2 юн</t>
  </si>
  <si>
    <t>09.05.2008</t>
  </si>
  <si>
    <t>Женщины, весовая категория 76 кг</t>
  </si>
  <si>
    <t>нормы выполнения спортивных званий и спортивных разрядов  МС - 130 кг; КМС - 105 кг; 1сп.р - 97 кг; 2 сп.р. - 88 кг</t>
  </si>
  <si>
    <t>Зубова </t>
  </si>
  <si>
    <t>Виолетта</t>
  </si>
  <si>
    <t>23.02.2009</t>
  </si>
  <si>
    <t>Мосьпан</t>
  </si>
  <si>
    <t>Ивановна</t>
  </si>
  <si>
    <t>03.06.2011</t>
  </si>
  <si>
    <t>Женщины, весовая категория 81 кг</t>
  </si>
  <si>
    <t>нормы выполнения спортивных званий и спортивных разрядов  МС - 190 кг; КМС - 155 кг; 1сп.р - 145 кг; 2 сп.р. - 132 кг</t>
  </si>
  <si>
    <t>Женщины, весовая категория 81+ кг</t>
  </si>
  <si>
    <t>нормы выполнения спортивных званий и спортивных разрядов  МС - 190 кг; КМС - 158 кг; 1сп.р - 148 кг; 2 сп.р. - 136 кг</t>
  </si>
  <si>
    <t>Женщины, весовая категория 87 кг</t>
  </si>
  <si>
    <t>нормы выполнения спортивных званий и спортивных разрядов  МС - 195 кг; КМС - 160 кг; 1сп.р - 150 кг; 2 сп.р. -138 кг</t>
  </si>
  <si>
    <t>Женщины, весовая категория 87+ кг</t>
  </si>
  <si>
    <t>нормы выполнения спортивных званий и спортивных разрядов  МС - 200 кг; КМС - 165 кг; 1сп.р - 155 кг; 2 сп.р. - 143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</si>
</sst>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0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/>
    </xf>
    <xf numFmtId="165" fontId="25" fillId="0" borderId="19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_женщины" xfId="1" xr:uid="{00000000-0005-0000-0000-000001000000}"/>
  </cellStyles>
  <dxfs count="37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B16E870-5AD7-45CD-89D9-DA8DCF9D97B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50E5EB7-D587-4C43-96CD-B5C75EE2C49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82344AD-AD8F-4EB9-B4DF-11BD2DCE75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J19" sqref="J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33</v>
      </c>
      <c r="D18" s="61" t="s">
        <v>34</v>
      </c>
      <c r="E18" s="61" t="s">
        <v>35</v>
      </c>
      <c r="F18" s="63" t="s">
        <v>36</v>
      </c>
      <c r="G18" s="62">
        <v>28</v>
      </c>
      <c r="H18" s="61" t="s">
        <v>37</v>
      </c>
      <c r="I18" s="81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/>
      <c r="G19" s="62">
        <v>27</v>
      </c>
      <c r="H19" s="61" t="s">
        <v>37</v>
      </c>
      <c r="I19" s="81" t="s">
        <v>44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6" priority="2" stopIfTrue="1">
      <formula>AND((#REF!),#REF!,#REF!)</formula>
    </cfRule>
  </conditionalFormatting>
  <conditionalFormatting sqref="C28:D28">
    <cfRule type="expression" dxfId="3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4B93-72DA-45F0-AFE8-71B495546367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67</v>
      </c>
      <c r="D18" s="63" t="s">
        <v>68</v>
      </c>
      <c r="E18" s="61" t="s">
        <v>69</v>
      </c>
      <c r="F18" s="63" t="s">
        <v>70</v>
      </c>
      <c r="G18" s="62">
        <v>61</v>
      </c>
      <c r="H18" s="61" t="s">
        <v>37</v>
      </c>
      <c r="I18" s="63" t="s">
        <v>71</v>
      </c>
      <c r="J18" s="63" t="s">
        <v>72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73</v>
      </c>
      <c r="D19" s="48" t="s">
        <v>74</v>
      </c>
      <c r="E19" s="49" t="s">
        <v>75</v>
      </c>
      <c r="F19" s="63" t="s">
        <v>36</v>
      </c>
      <c r="G19" s="62">
        <v>62</v>
      </c>
      <c r="H19" s="61" t="s">
        <v>37</v>
      </c>
      <c r="I19" s="81" t="s">
        <v>44</v>
      </c>
      <c r="J19" s="63" t="s">
        <v>76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4" priority="2" stopIfTrue="1">
      <formula>AND((#REF!),#REF!,#REF!)</formula>
    </cfRule>
  </conditionalFormatting>
  <conditionalFormatting sqref="C28:D2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36CB6-CCF3-4631-896E-F2EEAF71DE6F}">
  <sheetPr>
    <pageSetUpPr fitToPage="1"/>
  </sheetPr>
  <dimension ref="A1:Z465"/>
  <sheetViews>
    <sheetView showGridLines="0" view="pageBreakPreview" zoomScale="50" zoomScaleNormal="50" zoomScaleSheetLayoutView="50" workbookViewId="0"/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8" priority="2" stopIfTrue="1">
      <formula>AND((#REF!),#REF!,#REF!)</formula>
    </cfRule>
  </conditionalFormatting>
  <conditionalFormatting sqref="C28:D28">
    <cfRule type="expression" dxfId="2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81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82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T19" sqref="T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84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82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5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86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82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F32:G32"/>
    <mergeCell ref="F33:G33"/>
    <mergeCell ref="F34:G34"/>
    <mergeCell ref="J31:N31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J37:N37"/>
    <mergeCell ref="J38:N38"/>
    <mergeCell ref="T38:W38"/>
    <mergeCell ref="O38:S38"/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</mergeCells>
  <conditionalFormatting sqref="C18:D29">
    <cfRule type="expression" dxfId="2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89</v>
      </c>
      <c r="D18" s="48" t="s">
        <v>90</v>
      </c>
      <c r="E18" s="49" t="s">
        <v>91</v>
      </c>
      <c r="F18" s="63" t="s">
        <v>92</v>
      </c>
      <c r="G18" s="62">
        <v>47</v>
      </c>
      <c r="H18" s="61" t="s">
        <v>37</v>
      </c>
      <c r="I18" s="63" t="s">
        <v>71</v>
      </c>
      <c r="J18" s="63" t="s">
        <v>93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94</v>
      </c>
      <c r="D19" s="48" t="s">
        <v>95</v>
      </c>
      <c r="E19" s="49" t="s">
        <v>96</v>
      </c>
      <c r="F19" s="63" t="s">
        <v>36</v>
      </c>
      <c r="G19" s="62">
        <v>47</v>
      </c>
      <c r="H19" s="61" t="s">
        <v>37</v>
      </c>
      <c r="I19" s="63" t="s">
        <v>71</v>
      </c>
      <c r="J19" s="63" t="s">
        <v>97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98</v>
      </c>
      <c r="D20" s="48" t="s">
        <v>99</v>
      </c>
      <c r="E20" s="49" t="s">
        <v>100</v>
      </c>
      <c r="F20" s="63" t="s">
        <v>70</v>
      </c>
      <c r="G20" s="62">
        <v>48</v>
      </c>
      <c r="H20" s="61" t="s">
        <v>37</v>
      </c>
      <c r="I20" s="81" t="s">
        <v>44</v>
      </c>
      <c r="J20" s="63" t="s">
        <v>101</v>
      </c>
      <c r="K20" s="55"/>
      <c r="L20" s="56"/>
      <c r="M20" s="56"/>
      <c r="N20" s="56"/>
      <c r="O20" s="57"/>
      <c r="P20" s="56"/>
      <c r="Q20" s="56"/>
      <c r="R20" s="56"/>
      <c r="S20" s="57"/>
      <c r="T20" s="164"/>
      <c r="U20" s="58"/>
      <c r="V20" s="55"/>
      <c r="W20" s="59"/>
      <c r="X20" s="60" t="s">
        <v>46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3" priority="6" stopIfTrue="1">
      <formula>AND((#REF!),#REF!,#REF!)</formula>
    </cfRule>
  </conditionalFormatting>
  <conditionalFormatting sqref="C28:D28">
    <cfRule type="expression" dxfId="22" priority="3" stopIfTrue="1">
      <formula>AND((#REF!),#REF!,#REF!)</formula>
    </cfRule>
  </conditionalFormatting>
  <conditionalFormatting sqref="C19:D19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103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104</v>
      </c>
      <c r="D18" s="48" t="s">
        <v>105</v>
      </c>
      <c r="E18" s="49" t="s">
        <v>106</v>
      </c>
      <c r="F18" s="63" t="s">
        <v>36</v>
      </c>
      <c r="G18" s="62">
        <v>53</v>
      </c>
      <c r="H18" s="61" t="s">
        <v>37</v>
      </c>
      <c r="I18" s="81" t="s">
        <v>44</v>
      </c>
      <c r="J18" s="63" t="s">
        <v>107</v>
      </c>
      <c r="K18" s="55"/>
      <c r="L18" s="56"/>
      <c r="M18" s="56"/>
      <c r="N18" s="56"/>
      <c r="O18" s="57"/>
      <c r="P18" s="56"/>
      <c r="Q18" s="56"/>
      <c r="R18" s="56"/>
      <c r="S18" s="57"/>
      <c r="T18" s="164"/>
      <c r="U18" s="58"/>
      <c r="V18" s="55"/>
      <c r="W18" s="59"/>
      <c r="X18" s="60" t="s">
        <v>108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CD2BC3EB-FC18-4224-B0EE-0C423C6DE866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110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111</v>
      </c>
      <c r="D18" s="61" t="s">
        <v>112</v>
      </c>
      <c r="E18" s="61" t="s">
        <v>43</v>
      </c>
      <c r="F18" s="63" t="s">
        <v>113</v>
      </c>
      <c r="G18" s="62">
        <v>57</v>
      </c>
      <c r="H18" s="61" t="s">
        <v>37</v>
      </c>
      <c r="I18" s="63" t="s">
        <v>71</v>
      </c>
      <c r="J18" s="63" t="s">
        <v>114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7" priority="2" stopIfTrue="1">
      <formula>AND((#REF!),#REF!,#REF!)</formula>
    </cfRule>
  </conditionalFormatting>
  <conditionalFormatting sqref="C28:D28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115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116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K18" sqref="K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117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118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119</v>
      </c>
      <c r="D18" s="63" t="s">
        <v>120</v>
      </c>
      <c r="E18" s="61" t="s">
        <v>43</v>
      </c>
      <c r="F18" s="63" t="s">
        <v>70</v>
      </c>
      <c r="G18" s="62">
        <v>68</v>
      </c>
      <c r="H18" s="61" t="s">
        <v>37</v>
      </c>
      <c r="I18" s="63" t="s">
        <v>71</v>
      </c>
      <c r="J18" s="63" t="s">
        <v>121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1" t="s">
        <v>122</v>
      </c>
      <c r="D19" s="63" t="s">
        <v>123</v>
      </c>
      <c r="E19" s="61" t="s">
        <v>35</v>
      </c>
      <c r="F19" s="63" t="s">
        <v>124</v>
      </c>
      <c r="G19" s="62">
        <v>67</v>
      </c>
      <c r="H19" s="61" t="s">
        <v>37</v>
      </c>
      <c r="I19" s="63" t="s">
        <v>71</v>
      </c>
      <c r="J19" s="63" t="s">
        <v>125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3" priority="2" stopIfTrue="1">
      <formula>AND((#REF!),#REF!,#REF!)</formula>
    </cfRule>
  </conditionalFormatting>
  <conditionalFormatting sqref="C28:D28">
    <cfRule type="expression" dxfId="1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O22" sqref="O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126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128</v>
      </c>
      <c r="D18" s="48" t="s">
        <v>129</v>
      </c>
      <c r="E18" s="49" t="s">
        <v>106</v>
      </c>
      <c r="F18" s="63" t="s">
        <v>113</v>
      </c>
      <c r="G18" s="62">
        <v>75</v>
      </c>
      <c r="H18" s="61" t="s">
        <v>37</v>
      </c>
      <c r="I18" s="63" t="s">
        <v>71</v>
      </c>
      <c r="J18" s="63" t="s">
        <v>130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131</v>
      </c>
      <c r="D19" s="48" t="s">
        <v>105</v>
      </c>
      <c r="E19" s="49" t="s">
        <v>132</v>
      </c>
      <c r="F19" s="63" t="s">
        <v>36</v>
      </c>
      <c r="G19" s="62">
        <v>53</v>
      </c>
      <c r="H19" s="61" t="s">
        <v>37</v>
      </c>
      <c r="I19" s="81" t="s">
        <v>44</v>
      </c>
      <c r="J19" s="63" t="s">
        <v>133</v>
      </c>
      <c r="K19" s="55"/>
      <c r="L19" s="56"/>
      <c r="M19" s="56"/>
      <c r="N19" s="56"/>
      <c r="O19" s="57"/>
      <c r="P19" s="56"/>
      <c r="Q19" s="56"/>
      <c r="R19" s="56"/>
      <c r="S19" s="57"/>
      <c r="T19" s="164"/>
      <c r="U19" s="58"/>
      <c r="V19" s="55"/>
      <c r="W19" s="59"/>
      <c r="X19" s="60" t="s">
        <v>108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1" priority="4" stopIfTrue="1">
      <formula>AND((#REF!),#REF!,#REF!)</formula>
    </cfRule>
  </conditionalFormatting>
  <conditionalFormatting sqref="C28:D28">
    <cfRule type="expression" dxfId="10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E5C3E7F-2E45-4E08-A172-6DFAB388E918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  <x14:conditionalFormatting xmlns:xm="http://schemas.microsoft.com/office/excel/2006/main">
          <x14:cfRule type="expression" priority="1" stopIfTrue="1" id="{B5F20BDD-548E-4879-AAEA-7CAB392B7427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C19:D19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3" sqref="L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139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022A-CAA7-420E-B3ED-5BF2770A14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60" t="s">
        <v>141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2026-02-13T01:49:57Z</dcterms:modified>
  <cp:category/>
  <cp:contentStatus/>
</cp:coreProperties>
</file>